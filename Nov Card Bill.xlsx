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1160\Documents\"/>
    </mc:Choice>
  </mc:AlternateContent>
  <bookViews>
    <workbookView xWindow="0" yWindow="0" windowWidth="24000" windowHeight="8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" l="1"/>
  <c r="J15" i="1"/>
  <c r="K15" i="1"/>
  <c r="L15" i="1"/>
  <c r="L5" i="1"/>
  <c r="K7" i="1"/>
  <c r="J8" i="1"/>
  <c r="L13" i="1"/>
  <c r="K13" i="1"/>
  <c r="F15" i="1"/>
  <c r="L14" i="1"/>
  <c r="L12" i="1"/>
  <c r="L11" i="1"/>
  <c r="L9" i="1"/>
  <c r="L4" i="1"/>
  <c r="H5" i="1"/>
  <c r="H8" i="1"/>
  <c r="H7" i="1"/>
  <c r="H6" i="1"/>
  <c r="H13" i="1"/>
  <c r="H9" i="1"/>
  <c r="H15" i="1"/>
  <c r="I15" i="1"/>
</calcChain>
</file>

<file path=xl/sharedStrings.xml><?xml version="1.0" encoding="utf-8"?>
<sst xmlns="http://schemas.openxmlformats.org/spreadsheetml/2006/main" count="25" uniqueCount="25">
  <si>
    <t>Cover Desc</t>
  </si>
  <si>
    <t>Sum Insured</t>
  </si>
  <si>
    <t>S.no</t>
  </si>
  <si>
    <t xml:space="preserve">Rbl - </t>
  </si>
  <si>
    <t xml:space="preserve">Kotak - </t>
  </si>
  <si>
    <t xml:space="preserve">Axis 5173 - </t>
  </si>
  <si>
    <t xml:space="preserve">hdfc 3539 - </t>
  </si>
  <si>
    <t xml:space="preserve">Hdfc 4161 - </t>
  </si>
  <si>
    <t>Karthi</t>
  </si>
  <si>
    <t>Total</t>
  </si>
  <si>
    <t>Emi</t>
  </si>
  <si>
    <t xml:space="preserve">Scapia - </t>
  </si>
  <si>
    <t>Rugged-</t>
  </si>
  <si>
    <t>Mob-</t>
  </si>
  <si>
    <t>Benjamin-</t>
  </si>
  <si>
    <t>Emi Amount</t>
  </si>
  <si>
    <t>vivo v50</t>
  </si>
  <si>
    <t xml:space="preserve">Ticket Emi - </t>
  </si>
  <si>
    <t xml:space="preserve">Ticket emi - </t>
  </si>
  <si>
    <t>ME</t>
  </si>
  <si>
    <t>Axis 2380 -</t>
  </si>
  <si>
    <t>SBI -</t>
  </si>
  <si>
    <t>Date</t>
  </si>
  <si>
    <t>Rafi</t>
  </si>
  <si>
    <t>Benjamin&amp;Rugged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</si>
</sst>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C09]dd/mmm/yy;@"/>
  </numFmts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sz val="11"/>
      <color theme="1"/>
      <name val="Verdana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975A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1" xfId="0" applyFont="1" applyBorder="1" applyAlignment="1">
      <alignment horizontal="right" vertical="center" wrapText="1"/>
    </xf>
    <xf numFmtId="0" fontId="4" fillId="0" borderId="1" xfId="0" applyFont="1" applyBorder="1"/>
    <xf numFmtId="166" fontId="4" fillId="0" borderId="1" xfId="0" applyNumberFormat="1" applyFont="1" applyBorder="1"/>
    <xf numFmtId="2" fontId="4" fillId="0" borderId="1" xfId="0" applyNumberFormat="1" applyFont="1" applyBorder="1"/>
    <xf numFmtId="4" fontId="4" fillId="0" borderId="1" xfId="0" applyNumberFormat="1" applyFont="1" applyBorder="1"/>
    <xf numFmtId="166" fontId="4" fillId="0" borderId="2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8"/>
  <sheetViews>
    <sheetView tabSelected="1" zoomScale="130" zoomScaleNormal="130" workbookViewId="0">
      <selection activeCell="N15" sqref="N15"/>
    </sheetView>
  </sheetViews>
  <sheetFormatPr defaultRowHeight="15" x14ac:dyDescent="0.25"/>
  <cols>
    <col min="1" max="1" width="5.7109375" customWidth="1"/>
    <col min="2" max="2" width="5.140625" customWidth="1"/>
    <col min="3" max="3" width="5.42578125" bestFit="1" customWidth="1"/>
    <col min="4" max="4" width="9.5703125" bestFit="1" customWidth="1"/>
    <col min="5" max="5" width="14.28515625" customWidth="1"/>
    <col min="6" max="6" width="13" bestFit="1" customWidth="1"/>
    <col min="7" max="7" width="11.7109375" bestFit="1" customWidth="1"/>
    <col min="8" max="8" width="12.140625" customWidth="1"/>
    <col min="9" max="9" width="9.42578125" bestFit="1" customWidth="1"/>
    <col min="10" max="11" width="9.42578125" customWidth="1"/>
    <col min="12" max="12" width="9.28515625" bestFit="1" customWidth="1"/>
  </cols>
  <sheetData>
    <row r="3" spans="3:14" ht="31.5" x14ac:dyDescent="0.25">
      <c r="C3" s="14" t="s">
        <v>2</v>
      </c>
      <c r="D3" s="14" t="s">
        <v>22</v>
      </c>
      <c r="E3" s="14" t="s">
        <v>0</v>
      </c>
      <c r="F3" s="14" t="s">
        <v>1</v>
      </c>
      <c r="G3" s="14" t="s">
        <v>10</v>
      </c>
      <c r="H3" s="14" t="s">
        <v>15</v>
      </c>
      <c r="I3" s="14" t="s">
        <v>8</v>
      </c>
      <c r="J3" s="14" t="s">
        <v>24</v>
      </c>
      <c r="K3" s="14" t="s">
        <v>23</v>
      </c>
      <c r="L3" s="14" t="s">
        <v>19</v>
      </c>
    </row>
    <row r="4" spans="3:14" x14ac:dyDescent="0.25">
      <c r="C4" s="5">
        <v>1</v>
      </c>
      <c r="D4" s="6">
        <v>45990</v>
      </c>
      <c r="E4" s="12" t="s">
        <v>20</v>
      </c>
      <c r="F4" s="4">
        <v>4748.83</v>
      </c>
      <c r="G4" s="5"/>
      <c r="H4" s="5"/>
      <c r="I4" s="5"/>
      <c r="J4" s="5"/>
      <c r="K4" s="5"/>
      <c r="L4" s="5">
        <f>F4</f>
        <v>4748.83</v>
      </c>
    </row>
    <row r="5" spans="3:14" x14ac:dyDescent="0.25">
      <c r="C5" s="15">
        <v>2</v>
      </c>
      <c r="D5" s="9">
        <v>45992</v>
      </c>
      <c r="E5" s="13" t="s">
        <v>21</v>
      </c>
      <c r="F5" s="4">
        <v>17658</v>
      </c>
      <c r="G5" s="5" t="s">
        <v>18</v>
      </c>
      <c r="H5" s="5">
        <f>4083.99+253</f>
        <v>4336.99</v>
      </c>
      <c r="I5" s="5"/>
      <c r="J5" s="5"/>
      <c r="K5" s="5"/>
      <c r="L5" s="5">
        <f>F5-K7-J8</f>
        <v>6147.5300000000007</v>
      </c>
    </row>
    <row r="6" spans="3:14" x14ac:dyDescent="0.25">
      <c r="C6" s="16"/>
      <c r="D6" s="10"/>
      <c r="E6" s="13"/>
      <c r="F6" s="4"/>
      <c r="G6" s="5" t="s">
        <v>14</v>
      </c>
      <c r="H6" s="5">
        <f>3945.9+109.47</f>
        <v>4055.37</v>
      </c>
      <c r="I6" s="5"/>
      <c r="J6" s="5"/>
      <c r="K6" s="5"/>
      <c r="L6" s="5"/>
    </row>
    <row r="7" spans="3:14" x14ac:dyDescent="0.25">
      <c r="C7" s="16"/>
      <c r="D7" s="10"/>
      <c r="E7" s="13"/>
      <c r="F7" s="4"/>
      <c r="G7" s="5" t="s">
        <v>13</v>
      </c>
      <c r="H7" s="5">
        <f>4454.58+226.38</f>
        <v>4680.96</v>
      </c>
      <c r="I7" s="5"/>
      <c r="J7" s="5"/>
      <c r="K7" s="5">
        <f>H7</f>
        <v>4680.96</v>
      </c>
      <c r="L7" s="5"/>
    </row>
    <row r="8" spans="3:14" x14ac:dyDescent="0.25">
      <c r="C8" s="17"/>
      <c r="D8" s="11"/>
      <c r="E8" s="13"/>
      <c r="F8" s="4"/>
      <c r="G8" s="5" t="s">
        <v>12</v>
      </c>
      <c r="H8" s="5">
        <f>2673.17+100.97</f>
        <v>2774.14</v>
      </c>
      <c r="I8" s="5"/>
      <c r="J8" s="5">
        <f>H8+H6</f>
        <v>6829.51</v>
      </c>
      <c r="K8" s="5"/>
      <c r="L8" s="5"/>
      <c r="N8">
        <v>34000</v>
      </c>
    </row>
    <row r="9" spans="3:14" x14ac:dyDescent="0.25">
      <c r="C9" s="5">
        <v>3</v>
      </c>
      <c r="D9" s="6">
        <v>45992</v>
      </c>
      <c r="E9" s="12" t="s">
        <v>3</v>
      </c>
      <c r="F9" s="4">
        <v>17596</v>
      </c>
      <c r="G9" s="5" t="s">
        <v>17</v>
      </c>
      <c r="H9" s="5">
        <f>2317+200+64.08</f>
        <v>2581.08</v>
      </c>
      <c r="I9" s="5">
        <v>15299</v>
      </c>
      <c r="J9" s="5"/>
      <c r="K9" s="5"/>
      <c r="L9" s="5">
        <f>F9-I9</f>
        <v>2297</v>
      </c>
      <c r="N9">
        <f>N8-L15-4405-3000</f>
        <v>4366.1100000000006</v>
      </c>
    </row>
    <row r="10" spans="3:14" x14ac:dyDescent="0.25">
      <c r="C10" s="5">
        <v>4</v>
      </c>
      <c r="D10" s="6">
        <v>45999</v>
      </c>
      <c r="E10" s="12" t="s">
        <v>4</v>
      </c>
      <c r="F10" s="4">
        <v>24310.67</v>
      </c>
      <c r="G10" s="5"/>
      <c r="H10" s="5"/>
      <c r="I10" s="7">
        <v>24310.67</v>
      </c>
      <c r="J10" s="7"/>
      <c r="K10" s="7"/>
      <c r="L10" s="5"/>
    </row>
    <row r="11" spans="3:14" x14ac:dyDescent="0.25">
      <c r="C11" s="5">
        <v>5</v>
      </c>
      <c r="D11" s="6">
        <v>46001</v>
      </c>
      <c r="E11" s="12" t="s">
        <v>5</v>
      </c>
      <c r="F11" s="4">
        <v>4859.4799999999996</v>
      </c>
      <c r="G11" s="5"/>
      <c r="H11" s="5"/>
      <c r="I11" s="4"/>
      <c r="J11" s="4"/>
      <c r="K11" s="4"/>
      <c r="L11" s="5">
        <f>F11</f>
        <v>4859.4799999999996</v>
      </c>
    </row>
    <row r="12" spans="3:14" x14ac:dyDescent="0.25">
      <c r="C12" s="5">
        <v>6</v>
      </c>
      <c r="D12" s="6">
        <v>46001</v>
      </c>
      <c r="E12" s="12" t="s">
        <v>6</v>
      </c>
      <c r="F12" s="4">
        <v>917.29</v>
      </c>
      <c r="G12" s="5"/>
      <c r="H12" s="5"/>
      <c r="I12" s="5"/>
      <c r="J12" s="5"/>
      <c r="K12" s="5"/>
      <c r="L12" s="5">
        <f>F12</f>
        <v>917.29</v>
      </c>
    </row>
    <row r="13" spans="3:14" x14ac:dyDescent="0.25">
      <c r="C13" s="5">
        <v>7</v>
      </c>
      <c r="D13" s="6">
        <v>46003</v>
      </c>
      <c r="E13" s="12" t="s">
        <v>7</v>
      </c>
      <c r="F13" s="4">
        <v>2956</v>
      </c>
      <c r="G13" s="5" t="s">
        <v>16</v>
      </c>
      <c r="H13" s="8">
        <f>1008+51+6.12+6.12</f>
        <v>1071.2399999999998</v>
      </c>
      <c r="I13" s="5"/>
      <c r="J13" s="5"/>
      <c r="K13" s="8">
        <f>H13</f>
        <v>1071.2399999999998</v>
      </c>
      <c r="L13" s="8">
        <f>F13-K13</f>
        <v>1884.7600000000002</v>
      </c>
    </row>
    <row r="14" spans="3:14" x14ac:dyDescent="0.25">
      <c r="C14" s="5">
        <v>8</v>
      </c>
      <c r="D14" s="6">
        <v>46004</v>
      </c>
      <c r="E14" s="12" t="s">
        <v>11</v>
      </c>
      <c r="F14" s="4">
        <v>21773</v>
      </c>
      <c r="G14" s="5"/>
      <c r="H14" s="5"/>
      <c r="I14" s="5">
        <v>20399</v>
      </c>
      <c r="J14" s="5"/>
      <c r="K14" s="5"/>
      <c r="L14" s="5">
        <f>F14-I14</f>
        <v>1374</v>
      </c>
    </row>
    <row r="15" spans="3:14" x14ac:dyDescent="0.25">
      <c r="C15" s="3" t="s">
        <v>9</v>
      </c>
      <c r="D15" s="3"/>
      <c r="E15" s="3"/>
      <c r="F15" s="3">
        <f>SUM(F4:F14)</f>
        <v>94819.26999999999</v>
      </c>
      <c r="G15" s="3"/>
      <c r="H15" s="3">
        <f>SUM(H5:H14)</f>
        <v>19499.78</v>
      </c>
      <c r="I15" s="3">
        <f>SUM(I9:I14)</f>
        <v>60008.67</v>
      </c>
      <c r="J15" s="3">
        <f>J8</f>
        <v>6829.51</v>
      </c>
      <c r="K15" s="3">
        <f>SUM(K4:K14)</f>
        <v>5752.2</v>
      </c>
      <c r="L15" s="3">
        <f>SUM(L4:L14)</f>
        <v>22228.89</v>
      </c>
    </row>
    <row r="18" spans="5:6" ht="30.75" customHeight="1" x14ac:dyDescent="0.25">
      <c r="E18" s="1"/>
      <c r="F18" s="2"/>
    </row>
  </sheetData>
  <mergeCells count="3">
    <mergeCell ref="E5:E8"/>
    <mergeCell ref="D5:D8"/>
    <mergeCell ref="C5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2025-11-25T06:51:33Z</dcterms:created>
  <dcterms:modified xsi:type="dcterms:W3CDTF">2025-11-27T10:39:32Z</dcterms:modified>
</cp:coreProperties>
</file>